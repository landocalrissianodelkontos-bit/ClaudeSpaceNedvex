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ы РСО" sheetId="1" state="visible" r:id="rId1"/>
    <sheet xmlns:r="http://schemas.openxmlformats.org/officeDocument/2006/relationships" name="Доп. соглашения" sheetId="2" state="visible" r:id="rId2"/>
    <sheet xmlns:r="http://schemas.openxmlformats.org/officeDocument/2006/relationships" name="Справка" sheetId="3" state="visible" r:id="rId3"/>
  </sheets>
  <definedNames>
    <definedName name="_xlnm._FilterDatabase" localSheetId="0" hidden="1">'Договоры РСО'!$A$1:$O$1</definedName>
    <definedName name="_xlnm._FilterDatabase" localSheetId="1" hidden="1">'Доп. соглашения'!$A$1:$J$1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4" customWidth="1" min="4" max="4"/>
    <col width="22" customWidth="1" min="5" max="5"/>
    <col width="16" customWidth="1" min="6" max="6"/>
    <col width="13" customWidth="1" min="7" max="7"/>
    <col width="22" customWidth="1" min="8" max="8"/>
    <col width="30" customWidth="1" min="9" max="9"/>
    <col width="16" customWidth="1" min="10" max="10"/>
    <col width="26" customWidth="1" min="11" max="11"/>
    <col width="16" customWidth="1" min="12" max="12"/>
    <col width="16" customWidth="1" min="13" max="13"/>
    <col width="28" customWidth="1" min="14" max="14"/>
    <col width="45" customWidth="1" min="15" max="15"/>
  </cols>
  <sheetData>
    <row r="1" ht="45" customHeight="1">
      <c r="A1" s="1" t="inlineStr">
        <is>
          <t>№</t>
        </is>
      </c>
      <c r="B1" s="1" t="inlineStr">
        <is>
          <t>РСО (как указано в задании)</t>
        </is>
      </c>
      <c r="C1" s="1" t="inlineStr">
        <is>
          <t>Полное наименование РСО</t>
        </is>
      </c>
      <c r="D1" s="1" t="inlineStr">
        <is>
          <t>ИНН РСО</t>
        </is>
      </c>
      <c r="E1" s="1" t="inlineStr">
        <is>
          <t>Вид ресурса / услуги</t>
        </is>
      </c>
      <c r="F1" s="1" t="inlineStr">
        <is>
          <t>Номер договора</t>
        </is>
      </c>
      <c r="G1" s="1" t="inlineStr">
        <is>
          <t>Дата договора</t>
        </is>
      </c>
      <c r="H1" s="1" t="inlineStr">
        <is>
          <t>Срок действия / пролонгация</t>
        </is>
      </c>
      <c r="I1" s="1" t="inlineStr">
        <is>
          <t>Объект(ы) / адрес точек поставки</t>
        </is>
      </c>
      <c r="J1" s="1" t="inlineStr">
        <is>
          <t>Лицевой счёт / № абонента</t>
        </is>
      </c>
      <c r="K1" s="1" t="inlineStr">
        <is>
          <t>Цена / тариф / порядок расчётов</t>
        </is>
      </c>
      <c r="L1" s="1" t="inlineStr">
        <is>
          <t>Доп. соглашения (кол-во, см. лист 2)</t>
        </is>
      </c>
      <c r="M1" s="1" t="inlineStr">
        <is>
          <t>Статус договора</t>
        </is>
      </c>
      <c r="N1" s="1" t="inlineStr">
        <is>
          <t>Источник (файл в папке Договоры)</t>
        </is>
      </c>
      <c r="O1" s="1" t="inlineStr">
        <is>
          <t>Примечание</t>
        </is>
      </c>
    </row>
    <row r="2">
      <c r="A2" s="2" t="n">
        <v>1</v>
      </c>
      <c r="B2" s="2" t="inlineStr">
        <is>
          <t>Водоканал</t>
        </is>
      </c>
      <c r="C2" s="3" t="n"/>
      <c r="D2" s="3" t="n"/>
      <c r="E2" s="2" t="inlineStr">
        <is>
          <t>Холодное водоснабжение и/или водоотведение</t>
        </is>
      </c>
      <c r="F2" s="3" t="n"/>
      <c r="G2" s="3" t="n"/>
      <c r="H2" s="3" t="n"/>
      <c r="I2" s="3" t="n"/>
      <c r="J2" s="3" t="n"/>
      <c r="K2" s="3" t="n"/>
      <c r="L2" s="2">
        <f>COUNTIF('Доп. соглашения'!B:B,A2)</f>
        <v/>
      </c>
      <c r="M2" s="2" t="inlineStr">
        <is>
          <t>Не подтверждён</t>
        </is>
      </c>
      <c r="N2" s="3" t="n"/>
      <c r="O2" s="2" t="inlineStr">
        <is>
          <t>Реквизиты в открытых источниках не найдены — заполнить по скан-копии договора</t>
        </is>
      </c>
    </row>
    <row r="3">
      <c r="A3" s="2" t="n">
        <v>2</v>
      </c>
      <c r="B3" s="2" t="inlineStr">
        <is>
          <t>ТНС Энерго</t>
        </is>
      </c>
      <c r="C3" s="3" t="n"/>
      <c r="D3" s="3" t="n"/>
      <c r="E3" s="2" t="inlineStr">
        <is>
          <t>Электроснабжение (гарантирующий поставщик — «ТНС энерго Кубань»)</t>
        </is>
      </c>
      <c r="F3" s="3" t="n"/>
      <c r="G3" s="3" t="n"/>
      <c r="H3" s="3" t="n"/>
      <c r="I3" s="3" t="n"/>
      <c r="J3" s="3" t="n"/>
      <c r="K3" s="3" t="n"/>
      <c r="L3" s="2">
        <f>COUNTIF('Доп. соглашения'!B:B,A3)</f>
        <v/>
      </c>
      <c r="M3" s="2" t="inlineStr">
        <is>
          <t>Не подтверждён</t>
        </is>
      </c>
      <c r="N3" s="3" t="n"/>
      <c r="O3" s="2" t="inlineStr">
        <is>
          <t>Реквизиты в открытых источниках не найдены — заполнить по скан-копии договора</t>
        </is>
      </c>
    </row>
    <row r="4">
      <c r="A4" s="2" t="n">
        <v>3</v>
      </c>
      <c r="B4" s="2" t="inlineStr">
        <is>
          <t>Крайжилкомресурс</t>
        </is>
      </c>
      <c r="C4" s="3" t="n"/>
      <c r="D4" s="3" t="n"/>
      <c r="E4" s="2" t="inlineStr">
        <is>
          <t>Уточнить по договору</t>
        </is>
      </c>
      <c r="F4" s="3" t="n"/>
      <c r="G4" s="3" t="n"/>
      <c r="H4" s="3" t="n"/>
      <c r="I4" s="3" t="n"/>
      <c r="J4" s="3" t="n"/>
      <c r="K4" s="3" t="n"/>
      <c r="L4" s="2">
        <f>COUNTIF('Доп. соглашения'!B:B,A4)</f>
        <v/>
      </c>
      <c r="M4" s="2" t="inlineStr">
        <is>
          <t>Не подтверждён</t>
        </is>
      </c>
      <c r="N4" s="3" t="n"/>
      <c r="O4" s="2" t="inlineStr">
        <is>
          <t>Реквизиты в открытых источниках не найдены — заполнить по скан-копии договора</t>
        </is>
      </c>
    </row>
    <row r="5">
      <c r="A5" s="2" t="n">
        <v>4</v>
      </c>
      <c r="B5" s="2" t="inlineStr">
        <is>
          <t>Водосток</t>
        </is>
      </c>
      <c r="C5" s="3" t="n"/>
      <c r="D5" s="3" t="n"/>
      <c r="E5" s="2" t="inlineStr">
        <is>
          <t>Отвод ливневых / сточных вод (уточнить)</t>
        </is>
      </c>
      <c r="F5" s="3" t="n"/>
      <c r="G5" s="3" t="n"/>
      <c r="H5" s="3" t="n"/>
      <c r="I5" s="3" t="n"/>
      <c r="J5" s="3" t="n"/>
      <c r="K5" s="3" t="n"/>
      <c r="L5" s="2">
        <f>COUNTIF('Доп. соглашения'!B:B,A5)</f>
        <v/>
      </c>
      <c r="M5" s="2" t="inlineStr">
        <is>
          <t>Не подтверждён</t>
        </is>
      </c>
      <c r="N5" s="3" t="n"/>
      <c r="O5" s="2" t="inlineStr">
        <is>
          <t>Реквизиты в открытых источниках не найдены — заполнить по скан-копии договора</t>
        </is>
      </c>
    </row>
    <row r="6">
      <c r="A6" s="4" t="n">
        <v>5</v>
      </c>
      <c r="B6" s="4" t="inlineStr">
        <is>
          <t>Газоснабжение (проверить наличие)</t>
        </is>
      </c>
      <c r="C6" s="3" t="n"/>
      <c r="D6" s="3" t="n"/>
      <c r="E6" s="4" t="inlineStr">
        <is>
          <t>Поставка газа</t>
        </is>
      </c>
      <c r="F6" s="3" t="n"/>
      <c r="G6" s="3" t="n"/>
      <c r="H6" s="3" t="n"/>
      <c r="I6" s="3" t="n"/>
      <c r="J6" s="3" t="n"/>
      <c r="K6" s="3" t="n"/>
      <c r="L6" s="4">
        <f>COUNTIF('Доп. соглашения'!B:B,A6)</f>
        <v/>
      </c>
      <c r="M6" s="4" t="inlineStr">
        <is>
          <t>Проверить наличие</t>
        </is>
      </c>
      <c r="N6" s="3" t="n"/>
      <c r="O6" s="4" t="inlineStr">
        <is>
          <t>Кандидат: по ЕГРЮЛ основной ОКВЭД общества — 35.30.11 (производство тепловой энергии), значит у объекта может быть своя котельная, а для неё нужен договор поставки газа</t>
        </is>
      </c>
    </row>
    <row r="7">
      <c r="A7" s="4" t="n">
        <v>6</v>
      </c>
      <c r="B7" s="4" t="inlineStr">
        <is>
          <t>Региональный оператор по ТКО (проверить наличие)</t>
        </is>
      </c>
      <c r="C7" s="3" t="n"/>
      <c r="D7" s="3" t="n"/>
      <c r="E7" s="4" t="inlineStr">
        <is>
          <t>Обращение с ТКО</t>
        </is>
      </c>
      <c r="F7" s="3" t="n"/>
      <c r="G7" s="3" t="n"/>
      <c r="H7" s="3" t="n"/>
      <c r="I7" s="3" t="n"/>
      <c r="J7" s="3" t="n"/>
      <c r="K7" s="3" t="n"/>
      <c r="L7" s="4">
        <f>COUNTIF('Доп. соглашения'!B:B,A7)</f>
        <v/>
      </c>
      <c r="M7" s="4" t="inlineStr">
        <is>
          <t>Проверить наличие</t>
        </is>
      </c>
      <c r="N7" s="3" t="n"/>
      <c r="O7" s="4" t="inlineStr">
        <is>
          <t>Кандидат: договор с региональным оператором обязателен для собственника отходов (ст. 24.7 Закона № 89-ФЗ)</t>
        </is>
      </c>
    </row>
    <row r="8">
      <c r="A8" s="4" t="n">
        <v>7</v>
      </c>
      <c r="B8" s="4" t="inlineStr">
        <is>
          <t>Сетевая организация (проверить наличие)</t>
        </is>
      </c>
      <c r="C8" s="3" t="n"/>
      <c r="D8" s="3" t="n"/>
      <c r="E8" s="4" t="inlineStr">
        <is>
          <t>Технологическое присоединение (электро / водо / газ)</t>
        </is>
      </c>
      <c r="F8" s="3" t="n"/>
      <c r="G8" s="3" t="n"/>
      <c r="H8" s="3" t="n"/>
      <c r="I8" s="3" t="n"/>
      <c r="J8" s="3" t="n"/>
      <c r="K8" s="3" t="n"/>
      <c r="L8" s="4">
        <f>COUNTIF('Доп. соглашения'!B:B,A8)</f>
        <v/>
      </c>
      <c r="M8" s="4" t="inlineStr">
        <is>
          <t>Проверить наличие</t>
        </is>
      </c>
      <c r="N8" s="3" t="n"/>
      <c r="O8" s="4" t="inlineStr">
        <is>
          <t>Кандидат: договоры ТП и ТУ на подключение строящегося комплекса</t>
        </is>
      </c>
    </row>
  </sheetData>
  <autoFilter ref="A1:O1"/>
  <dataValidations count="1">
    <dataValidation sqref="M2:M200" showDropDown="0" showInputMessage="0" showErrorMessage="0" allowBlank="1" type="list">
      <formula1>"Действует,Расторгнут,Истёк,Не подтверждён,Проверить наличие,Нет договора"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30" customWidth="1" min="9" max="9"/>
    <col width="30" customWidth="1" min="10" max="10"/>
  </cols>
  <sheetData>
    <row r="1" ht="45" customHeight="1">
      <c r="A1" s="1" t="inlineStr">
        <is>
          <t>№ п/п</t>
        </is>
      </c>
      <c r="B1" s="1" t="inlineStr">
        <is>
          <t>№ договора в реестре (лист 1, колонка №)</t>
        </is>
      </c>
      <c r="C1" s="1" t="inlineStr">
        <is>
          <t>РСО</t>
        </is>
      </c>
      <c r="D1" s="1" t="inlineStr">
        <is>
          <t>Номер договора</t>
        </is>
      </c>
      <c r="E1" s="1" t="inlineStr">
        <is>
          <t>Номер доп. соглашения</t>
        </is>
      </c>
      <c r="F1" s="1" t="inlineStr">
        <is>
          <t>Дата доп. соглашения</t>
        </is>
      </c>
      <c r="G1" s="1" t="inlineStr">
        <is>
          <t>Предмет изменений</t>
        </is>
      </c>
      <c r="H1" s="1" t="inlineStr">
        <is>
          <t>Вступает в силу с</t>
        </is>
      </c>
      <c r="I1" s="1" t="inlineStr">
        <is>
          <t>Источник (файл в папке Доп_соглашения)</t>
        </is>
      </c>
      <c r="J1" s="1" t="inlineStr">
        <is>
          <t>Примечание</t>
        </is>
      </c>
    </row>
    <row r="2">
      <c r="A2" s="2" t="n"/>
      <c r="B2" s="2" t="n"/>
      <c r="C2" s="2">
        <f>IFERROR(INDEX('Договоры РСО'!B:B,MATCH(B2,'Договоры РСО'!A:A,0)),"")</f>
        <v/>
      </c>
      <c r="D2" s="2">
        <f>IFERROR(INDEX('Договоры РСО'!F:F,MATCH(B2,'Договоры РСО'!A:A,0)),"")</f>
        <v/>
      </c>
      <c r="E2" s="2" t="n"/>
      <c r="F2" s="2" t="n"/>
      <c r="G2" s="2" t="n"/>
      <c r="H2" s="2" t="n"/>
      <c r="I2" s="2" t="n"/>
      <c r="J2" s="2" t="inlineStr">
        <is>
          <t>Пример строки: укажите в колонке B номер договора из реестра, тогда колонки C и D заполнятся сами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Абонент</t>
        </is>
      </c>
      <c r="B1" s="6" t="inlineStr">
        <is>
          <t>АО «Волна Резорт энд СПА»</t>
        </is>
      </c>
    </row>
    <row r="2">
      <c r="A2" s="5" t="inlineStr">
        <is>
          <t>ИНН / ОГРН</t>
        </is>
      </c>
      <c r="B2" s="6" t="inlineStr">
        <is>
          <t>2317011051 / 1022302715214</t>
        </is>
      </c>
    </row>
    <row r="3">
      <c r="A3" s="5" t="inlineStr">
        <is>
          <t>Юр. адрес</t>
        </is>
      </c>
      <c r="B3" s="6" t="inlineStr">
        <is>
          <t>Краснодарский край, г. Сочи, Адлерский р-н, ул. Ленина, 219а (по данным агрегаторов ЕГРЮЛ)</t>
        </is>
      </c>
    </row>
    <row r="4">
      <c r="A4" s="5" t="inlineStr">
        <is>
          <t>Основной ОКВЭД</t>
        </is>
      </c>
      <c r="B4" s="6" t="inlineStr">
        <is>
          <t>35.30.11 — производство пара и горячей воды тепловыми электростанциями</t>
        </is>
      </c>
    </row>
    <row r="5">
      <c r="A5" s="5" t="inlineStr">
        <is>
          <t>Дата проверки</t>
        </is>
      </c>
      <c r="B5" s="6" t="inlineStr">
        <is>
          <t>19.10.2026</t>
        </is>
      </c>
    </row>
    <row r="6">
      <c r="A6" s="5" t="inlineStr">
        <is>
          <t>Итог поиска</t>
        </is>
      </c>
      <c r="B6" s="6" t="inlineStr">
        <is>
          <t>В репозитории документов по договорам с РСО нет. В открытых источниках (новости, агрегаторы, сайт ТНС энерго Кубань) номера, даты и доп. соглашения договоров не опубликованы. Картотека kad.arbitr.ru и rusprofile / checko / zachestnyibiznes из среды выполнения недоступны (блокировка, ответ 403).</t>
        </is>
      </c>
    </row>
    <row r="7">
      <c r="A7" s="5" t="inlineStr">
        <is>
          <t>Что нужно для заполнения</t>
        </is>
      </c>
      <c r="B7" s="6" t="inlineStr">
        <is>
          <t>Положить скан-копии / PDF договоров в РСО/Договоры, доп. соглашения — в РСО/Доп_соглашения (имена файлов см. README.md), либо подключить Google Drive / Gmail, где они хранятся.</t>
        </is>
      </c>
    </row>
    <row r="8">
      <c r="A8" s="5" t="inlineStr">
        <is>
          <t>Источник</t>
        </is>
      </c>
      <c r="B8" s="6" t="inlineStr">
        <is>
          <t>https://www.rusprofile.ru/id/2346190</t>
        </is>
      </c>
    </row>
    <row r="9">
      <c r="A9" s="5" t="inlineStr">
        <is>
          <t>Источник</t>
        </is>
      </c>
      <c r="B9" s="6" t="inlineStr">
        <is>
          <t>https://spark-interfax.ru/krasnodarski-krai-sochi/ao-volna-rezort-end-spa-inn-2317011051-ogrn-1022302715214-972163f7a1554fd0a06cdafb60da4f1a</t>
        </is>
      </c>
    </row>
    <row r="10">
      <c r="A10" s="5" t="inlineStr">
        <is>
          <t>Источник</t>
        </is>
      </c>
      <c r="B10" s="6" t="inlineStr">
        <is>
          <t>https://www.kommersant.ru/doc/8227591</t>
        </is>
      </c>
    </row>
    <row r="11">
      <c r="A11" s="5" t="inlineStr">
        <is>
          <t>Важно</t>
        </is>
      </c>
      <c r="B11" s="6" t="inlineStr">
        <is>
          <t>По данным «Коммерсанта» (21.11.2025), спор о передаче комплекса в федеральную собственность урегулирован для АО мировым соглашением (январь 2025). Если менялся собственник объектов, проверьте, на кого сейчас оформлены договоры с РСО.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2026-10-19T14:12:08Z</dcterms:created>
  <dcterms:modified xmlns:dcterms="http://purl.org/dc/terms/" xmlns:xsi="http://www.w3.org/2001/XMLSchema-instance" xsi:type="dcterms:W3CDTF">2026-10-19T14:12:08Z</dcterms:modified>
</cp:coreProperties>
</file>